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rada" sheetId="1" state="visible" r:id="rId1"/>
    <sheet xmlns:r="http://schemas.openxmlformats.org/officeDocument/2006/relationships" name="Nomograma" sheetId="2" state="visible" r:id="rId2"/>
    <sheet xmlns:r="http://schemas.openxmlformats.org/officeDocument/2006/relationships" name="Resultados" sheetId="3" state="visible" r:id="rId3"/>
    <sheet xmlns:r="http://schemas.openxmlformats.org/officeDocument/2006/relationships" name="Calibração" sheetId="4" state="visible" r:id="rId4"/>
  </sheets>
  <definedNames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color rgb="000563C1"/>
    </font>
    <font>
      <b val="1"/>
      <color rgb="001F4E79"/>
    </font>
    <font>
      <sz val="10"/>
    </font>
    <font>
      <color rgb="00000000"/>
    </font>
    <font>
      <i val="1"/>
      <sz val="10"/>
    </font>
    <font>
      <b val="1"/>
      <color rgb="00FFFFFF"/>
      <sz val="13"/>
    </font>
    <font>
      <b val="1"/>
      <color rgb="00FFFFFF"/>
      <sz val="12"/>
    </font>
    <font>
      <i val="1"/>
      <color rgb="0059595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9E8FF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pivotButton="0" quotePrefix="0" xfId="0"/>
    <xf numFmtId="2" fontId="3" fillId="3" borderId="1" pivotButton="0" quotePrefix="0" xfId="0"/>
    <xf numFmtId="1" fontId="3" fillId="3" borderId="1" pivotButton="0" quotePrefix="0" xfId="0"/>
    <xf numFmtId="0" fontId="4" fillId="4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 wrapText="1"/>
    </xf>
    <xf numFmtId="2" fontId="3" fillId="3" borderId="1" applyAlignment="1" pivotButton="0" quotePrefix="0" xfId="0">
      <alignment horizontal="right" vertical="center" wrapText="1"/>
    </xf>
    <xf numFmtId="1" fontId="3" fillId="3" borderId="1" applyAlignment="1" pivotButton="0" quotePrefix="0" xfId="0">
      <alignment horizontal="right" vertical="center" wrapText="1"/>
    </xf>
    <xf numFmtId="2" fontId="6" fillId="5" borderId="1" applyAlignment="1" pivotButton="0" quotePrefix="0" xfId="0">
      <alignment horizontal="right" vertical="center" wrapText="1"/>
    </xf>
    <xf numFmtId="0" fontId="7" fillId="6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4" borderId="0" pivotButton="0" quotePrefix="0" xfId="0"/>
    <xf numFmtId="2" fontId="0" fillId="0" borderId="1" applyAlignment="1" pivotButton="0" quotePrefix="0" xfId="0">
      <alignment horizontal="right" vertical="center" wrapText="1"/>
    </xf>
    <xf numFmtId="0" fontId="7" fillId="6" borderId="0" applyAlignment="1" pivotButton="0" quotePrefix="0" xfId="0">
      <alignment vertical="center" wrapText="1"/>
    </xf>
    <xf numFmtId="0" fontId="10" fillId="7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3" customWidth="1" min="4" max="4"/>
    <col width="26" customWidth="1" min="5" max="5"/>
    <col width="18" customWidth="1" min="6" max="6"/>
    <col width="12" customWidth="1" min="7" max="7"/>
  </cols>
  <sheetData>
    <row r="1" ht="28" customHeight="1">
      <c r="A1" s="1" t="inlineStr">
        <is>
          <t>Calculadora PresbyCor (nomograma ajustável) – v3 (regras de segurança Dr. Ghenassia + modo Q manual)</t>
        </is>
      </c>
    </row>
    <row r="2" ht="18" customHeight="1"/>
    <row r="3" ht="18" customHeight="1">
      <c r="A3" s="2" t="inlineStr">
        <is>
          <t>Paciente</t>
        </is>
      </c>
      <c r="B3" s="3" t="inlineStr">
        <is>
          <t>(nome)</t>
        </is>
      </c>
      <c r="E3" s="2" t="inlineStr">
        <is>
          <t>Controles</t>
        </is>
      </c>
    </row>
    <row r="4" ht="18" customHeight="1">
      <c r="A4" s="2" t="inlineStr">
        <is>
          <t>Data (opcional)</t>
        </is>
      </c>
      <c r="B4" s="3" t="n"/>
      <c r="E4" s="2" t="inlineStr">
        <is>
          <t>Anisometropia máx (D)</t>
        </is>
      </c>
      <c r="F4" s="4" t="n">
        <v>1.75</v>
      </c>
    </row>
    <row r="5" ht="18" customHeight="1">
      <c r="A5" s="2" t="inlineStr">
        <is>
          <t>Idade (anos)</t>
        </is>
      </c>
      <c r="B5" s="5" t="n">
        <v>52</v>
      </c>
      <c r="E5" s="2" t="inlineStr">
        <is>
          <t>Teto esfera (D)</t>
        </is>
      </c>
      <c r="F5" s="4" t="n">
        <v>5</v>
      </c>
    </row>
    <row r="6" ht="18" customHeight="1">
      <c r="E6" s="2" t="inlineStr">
        <is>
          <t>Modo Q</t>
        </is>
      </c>
      <c r="F6" s="3" t="inlineStr">
        <is>
          <t>Nomograma</t>
        </is>
      </c>
    </row>
    <row r="7" ht="18" customHeight="1"/>
    <row r="8" ht="18" customHeight="1">
      <c r="A8" s="6" t="inlineStr">
        <is>
          <t>OD (Olho Direito)</t>
        </is>
      </c>
      <c r="E8" s="6" t="inlineStr">
        <is>
          <t>OS (Olho Esquerdo)</t>
        </is>
      </c>
    </row>
    <row r="9" ht="18" customHeight="1">
      <c r="A9" s="2" t="inlineStr">
        <is>
          <t>Olho dominante?</t>
        </is>
      </c>
      <c r="B9" s="7" t="inlineStr">
        <is>
          <t>Sim</t>
        </is>
      </c>
      <c r="C9" s="8" t="inlineStr"/>
      <c r="E9" s="2" t="inlineStr">
        <is>
          <t>Olho dominante?</t>
        </is>
      </c>
      <c r="F9" s="7" t="inlineStr">
        <is>
          <t>Sim</t>
        </is>
      </c>
      <c r="G9" s="8" t="inlineStr"/>
    </row>
    <row r="10" ht="18" customHeight="1">
      <c r="A10" s="2" t="inlineStr">
        <is>
          <t>Estratégia preferida</t>
        </is>
      </c>
      <c r="B10" s="7" t="inlineStr">
        <is>
          <t>equi-vision</t>
        </is>
      </c>
      <c r="C10" s="8" t="inlineStr"/>
      <c r="E10" s="2" t="inlineStr">
        <is>
          <t>Estratégia preferida</t>
        </is>
      </c>
      <c r="F10" s="7" t="inlineStr">
        <is>
          <t>equi-vision</t>
        </is>
      </c>
      <c r="G10" s="8" t="inlineStr"/>
    </row>
    <row r="11" ht="18" customHeight="1">
      <c r="A11" s="2" t="inlineStr">
        <is>
          <t>Esfera (pré-op)</t>
        </is>
      </c>
      <c r="B11" s="9" t="n">
        <v>0</v>
      </c>
      <c r="C11" s="8" t="inlineStr">
        <is>
          <t>D</t>
        </is>
      </c>
      <c r="E11" s="2" t="inlineStr">
        <is>
          <t>Esfera (pré-op)</t>
        </is>
      </c>
      <c r="F11" s="9" t="n">
        <v>0</v>
      </c>
      <c r="G11" s="8" t="inlineStr">
        <is>
          <t>D</t>
        </is>
      </c>
    </row>
    <row r="12" ht="18" customHeight="1">
      <c r="A12" s="2" t="inlineStr">
        <is>
          <t>Cilindro (pré-op)</t>
        </is>
      </c>
      <c r="B12" s="9" t="n">
        <v>0</v>
      </c>
      <c r="C12" s="8" t="inlineStr">
        <is>
          <t>D</t>
        </is>
      </c>
      <c r="E12" s="2" t="inlineStr">
        <is>
          <t>Cilindro (pré-op)</t>
        </is>
      </c>
      <c r="F12" s="9" t="n">
        <v>0</v>
      </c>
      <c r="G12" s="8" t="inlineStr">
        <is>
          <t>D</t>
        </is>
      </c>
    </row>
    <row r="13" ht="18" customHeight="1">
      <c r="A13" s="2" t="inlineStr">
        <is>
          <t>Eixo</t>
        </is>
      </c>
      <c r="B13" s="10" t="n">
        <v>0</v>
      </c>
      <c r="C13" s="8" t="inlineStr">
        <is>
          <t>°</t>
        </is>
      </c>
      <c r="E13" s="2" t="inlineStr">
        <is>
          <t>Eixo</t>
        </is>
      </c>
      <c r="F13" s="10" t="n">
        <v>0</v>
      </c>
      <c r="G13" s="8" t="inlineStr">
        <is>
          <t>°</t>
        </is>
      </c>
    </row>
    <row r="14" ht="18" customHeight="1">
      <c r="A14" s="2" t="inlineStr">
        <is>
          <t>Add (perto)</t>
        </is>
      </c>
      <c r="B14" s="9" t="n">
        <v>1.5</v>
      </c>
      <c r="C14" s="8" t="inlineStr">
        <is>
          <t>D</t>
        </is>
      </c>
      <c r="E14" s="2" t="inlineStr">
        <is>
          <t>Add (perto)</t>
        </is>
      </c>
      <c r="F14" s="9" t="n">
        <v>1.5</v>
      </c>
      <c r="G14" s="8" t="inlineStr">
        <is>
          <t>D</t>
        </is>
      </c>
    </row>
    <row r="15" ht="18" customHeight="1">
      <c r="A15" s="2" t="inlineStr">
        <is>
          <t>Q pré-op (Q0)</t>
        </is>
      </c>
      <c r="B15" s="9" t="n">
        <v>-0.65</v>
      </c>
      <c r="C15" s="8" t="inlineStr"/>
      <c r="E15" s="2" t="inlineStr">
        <is>
          <t>Q pré-op (Q0)</t>
        </is>
      </c>
      <c r="F15" s="9" t="n">
        <v>-0.65</v>
      </c>
      <c r="G15" s="8" t="inlineStr"/>
    </row>
    <row r="16" ht="18" customHeight="1">
      <c r="A16" s="2" t="inlineStr">
        <is>
          <t>K1</t>
        </is>
      </c>
      <c r="B16" s="9" t="n">
        <v>44.25</v>
      </c>
      <c r="C16" s="8" t="inlineStr">
        <is>
          <t>D</t>
        </is>
      </c>
      <c r="E16" s="2" t="inlineStr">
        <is>
          <t>K1</t>
        </is>
      </c>
      <c r="F16" s="9" t="n">
        <v>44.25</v>
      </c>
      <c r="G16" s="8" t="inlineStr">
        <is>
          <t>D</t>
        </is>
      </c>
    </row>
    <row r="17" ht="18" customHeight="1">
      <c r="A17" s="2" t="inlineStr">
        <is>
          <t>K2</t>
        </is>
      </c>
      <c r="B17" s="9" t="n">
        <v>44.75</v>
      </c>
      <c r="C17" s="8" t="inlineStr">
        <is>
          <t>D</t>
        </is>
      </c>
      <c r="E17" s="2" t="inlineStr">
        <is>
          <t>K2</t>
        </is>
      </c>
      <c r="F17" s="9" t="n">
        <v>44.75</v>
      </c>
      <c r="G17" s="8" t="inlineStr">
        <is>
          <t>D</t>
        </is>
      </c>
    </row>
    <row r="18" ht="18" customHeight="1">
      <c r="A18" s="2" t="inlineStr">
        <is>
          <t>Eixo K</t>
        </is>
      </c>
      <c r="B18" s="10" t="n">
        <v>165</v>
      </c>
      <c r="C18" s="8" t="inlineStr">
        <is>
          <t>°</t>
        </is>
      </c>
      <c r="E18" s="2" t="inlineStr">
        <is>
          <t>Eixo K</t>
        </is>
      </c>
      <c r="F18" s="10" t="n">
        <v>165</v>
      </c>
      <c r="G18" s="8" t="inlineStr">
        <is>
          <t>°</t>
        </is>
      </c>
    </row>
    <row r="19" ht="18" customHeight="1">
      <c r="A19" s="2" t="inlineStr">
        <is>
          <t>Pupila mesópica</t>
        </is>
      </c>
      <c r="B19" s="9" t="n">
        <v>4.5</v>
      </c>
      <c r="C19" s="8" t="inlineStr">
        <is>
          <t>mm</t>
        </is>
      </c>
      <c r="E19" s="2" t="inlineStr">
        <is>
          <t>Pupila mesópica</t>
        </is>
      </c>
      <c r="F19" s="9" t="n">
        <v>4.5</v>
      </c>
      <c r="G19" s="8" t="inlineStr">
        <is>
          <t>mm</t>
        </is>
      </c>
    </row>
    <row r="20" ht="18" customHeight="1">
      <c r="A20" s="2" t="inlineStr">
        <is>
          <t>Zona óptica</t>
        </is>
      </c>
      <c r="B20" s="9" t="n">
        <v>6.5</v>
      </c>
      <c r="C20" s="8" t="inlineStr">
        <is>
          <t>mm</t>
        </is>
      </c>
      <c r="E20" s="2" t="inlineStr">
        <is>
          <t>Zona óptica</t>
        </is>
      </c>
      <c r="F20" s="9" t="n">
        <v>6.5</v>
      </c>
      <c r="G20" s="8" t="inlineStr">
        <is>
          <t>mm</t>
        </is>
      </c>
    </row>
    <row r="21" ht="18" customHeight="1">
      <c r="A21" s="2" t="inlineStr">
        <is>
          <t>K médio</t>
        </is>
      </c>
      <c r="B21" s="11">
        <f>(B16+B17)/2</f>
        <v/>
      </c>
      <c r="C21" s="8" t="inlineStr">
        <is>
          <t>D</t>
        </is>
      </c>
      <c r="E21" s="2" t="inlineStr">
        <is>
          <t>K médio</t>
        </is>
      </c>
      <c r="F21" s="11">
        <f>(F16+F17)/2</f>
        <v/>
      </c>
      <c r="G21" s="8" t="inlineStr">
        <is>
          <t>D</t>
        </is>
      </c>
    </row>
    <row r="22" ht="18" customHeight="1">
      <c r="A22" s="2" t="inlineStr">
        <is>
          <t>Q alvo manual (opcional)</t>
        </is>
      </c>
      <c r="B22" s="9" t="n">
        <v>-0.5</v>
      </c>
      <c r="C22" s="8" t="inlineStr"/>
      <c r="E22" s="2" t="inlineStr">
        <is>
          <t>Q alvo manual (opcional)</t>
        </is>
      </c>
      <c r="F22" s="9" t="n">
        <v>-0.5</v>
      </c>
      <c r="G22" s="8" t="inlineStr"/>
    </row>
    <row r="23" ht="18" customHeight="1">
      <c r="A23" s="12" t="inlineStr">
        <is>
          <t>Notas: preencha apenas as células azuis. O cálculo de PresbyCor v2 está na aba 'Resultados'.</t>
        </is>
      </c>
      <c r="E23" s="12" t="inlineStr">
        <is>
          <t>Notas: preencha apenas as células azuis. O cálculo de PresbyCor v2 está na aba 'Resultados'.</t>
        </is>
      </c>
    </row>
    <row r="24" ht="18" customHeight="1"/>
    <row r="25" ht="18" customHeight="1">
      <c r="A25" t="inlineStr">
        <is>
          <t>Eccentricidade e (opcional – se você tiver do topógrafo)</t>
        </is>
      </c>
    </row>
    <row r="26" ht="18" customHeight="1">
      <c r="A26" t="inlineStr">
        <is>
          <t>OD e (eccentricity)</t>
        </is>
      </c>
      <c r="B26" s="21" t="n">
        <v>0.84</v>
      </c>
      <c r="E26" t="inlineStr">
        <is>
          <t>OS e (eccentricity)</t>
        </is>
      </c>
      <c r="F26" s="21" t="n">
        <v>0.84</v>
      </c>
    </row>
    <row r="27" ht="18" customHeight="1">
      <c r="A27" t="inlineStr">
        <is>
          <t>OD Q calculado por e (Q=-e^2)</t>
        </is>
      </c>
      <c r="B27">
        <f>-POWER(B26,2)</f>
        <v/>
      </c>
      <c r="E27" t="inlineStr">
        <is>
          <t>OS Q calculado por e (Q=-e^2)</t>
        </is>
      </c>
      <c r="F27">
        <f>-POWER(F26,2)</f>
        <v/>
      </c>
    </row>
    <row r="28" ht="18" customHeight="1">
      <c r="A28" t="inlineStr">
        <is>
          <t>OS e (eccentricity)</t>
        </is>
      </c>
    </row>
    <row r="29" ht="18" customHeight="1">
      <c r="A29" t="inlineStr">
        <is>
          <t>Fonte do Q pré-op</t>
        </is>
      </c>
      <c r="B29" s="21" t="inlineStr">
        <is>
          <t>Direto</t>
        </is>
      </c>
    </row>
    <row r="30" ht="18" customHeight="1">
      <c r="A30" t="inlineStr">
        <is>
          <t>(Escolha: 'Direto' usa Q0 digitado; 'Por e' usa Q=-e^2)</t>
        </is>
      </c>
    </row>
    <row r="31" ht="18" customHeight="1">
      <c r="A31" t="inlineStr">
        <is>
          <t>OD Q0 efetivo</t>
        </is>
      </c>
      <c r="B31">
        <f>IF($B$29="Por e",$B$27,$B$15)</f>
        <v/>
      </c>
      <c r="E31" t="inlineStr">
        <is>
          <t>OS Q0 efetivo</t>
        </is>
      </c>
      <c r="F31">
        <f>IF($B$29="Por e",$F$27,$F$15)</f>
        <v/>
      </c>
    </row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5">
    <mergeCell ref="A1:G1"/>
    <mergeCell ref="A8:C8"/>
    <mergeCell ref="E8:G8"/>
    <mergeCell ref="A23:C24"/>
    <mergeCell ref="E23:G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6" customHeight="1">
      <c r="A1" s="13" t="inlineStr">
        <is>
          <t>Parâmetros do Nomograma (ajustáveis para calibrar com o PresbyCor impresso)</t>
        </is>
      </c>
    </row>
    <row r="3">
      <c r="A3" s="14" t="inlineStr">
        <is>
          <t>Estratégia</t>
        </is>
      </c>
      <c r="B3" s="14" t="inlineStr">
        <is>
          <t>Δ base (dominante)</t>
        </is>
      </c>
      <c r="C3" s="14" t="inlineStr">
        <is>
          <t>Δ base (não dom.)</t>
        </is>
      </c>
      <c r="D3" s="14" t="inlineStr">
        <is>
          <t>Q shift (dominante)</t>
        </is>
      </c>
      <c r="E3" s="14" t="inlineStr">
        <is>
          <t>Q shift (não dom.)</t>
        </is>
      </c>
    </row>
    <row r="4">
      <c r="A4" s="2" t="inlineStr">
        <is>
          <t>equi-vision</t>
        </is>
      </c>
      <c r="B4" s="7" t="n">
        <v>1.2</v>
      </c>
      <c r="C4" s="7" t="n">
        <v>1.8</v>
      </c>
      <c r="D4" s="7" t="n">
        <v>0.8</v>
      </c>
      <c r="E4" s="7" t="n">
        <v>0.8</v>
      </c>
    </row>
    <row r="5">
      <c r="A5" s="2" t="inlineStr">
        <is>
          <t>dual-vision</t>
        </is>
      </c>
      <c r="B5" s="7" t="n">
        <v>1.2</v>
      </c>
      <c r="C5" s="7" t="n">
        <v>2.2</v>
      </c>
      <c r="D5" s="7" t="n">
        <v>0.8</v>
      </c>
      <c r="E5" s="7" t="n">
        <v>0.8</v>
      </c>
    </row>
    <row r="6">
      <c r="A6" s="2" t="inlineStr">
        <is>
          <t>mono-vision</t>
        </is>
      </c>
      <c r="B6" s="7" t="n">
        <v>0</v>
      </c>
      <c r="C6" s="20" t="inlineStr">
        <is>
          <t>Add (do olho)</t>
        </is>
      </c>
      <c r="D6" s="7" t="n">
        <v>0</v>
      </c>
      <c r="E6" s="7" t="n">
        <v>0.7</v>
      </c>
    </row>
    <row r="8">
      <c r="A8" s="16" t="inlineStr">
        <is>
          <t>Ajustes por idade</t>
        </is>
      </c>
    </row>
    <row r="9">
      <c r="A9" s="2" t="inlineStr">
        <is>
          <t>Limite idade (≤)</t>
        </is>
      </c>
      <c r="B9" s="7" t="n">
        <v>50</v>
      </c>
    </row>
    <row r="10">
      <c r="A10" s="2" t="inlineStr">
        <is>
          <t>Δ esfera (se ≤ limite)</t>
        </is>
      </c>
      <c r="B10" s="7" t="n">
        <v>-0.1</v>
      </c>
    </row>
    <row r="11">
      <c r="A11" s="2" t="inlineStr">
        <is>
          <t>ΔQ (se ≤ limite)</t>
        </is>
      </c>
      <c r="B11" s="7" t="n">
        <v>-0.05</v>
      </c>
    </row>
    <row r="13">
      <c r="A13" s="17" t="inlineStr">
        <is>
          <t>Ajustes por ceratometria (K médio)</t>
        </is>
      </c>
    </row>
    <row r="14">
      <c r="A14" s="2" t="inlineStr">
        <is>
          <t>K alto (&gt;)</t>
        </is>
      </c>
      <c r="B14" s="7" t="n">
        <v>45</v>
      </c>
    </row>
    <row r="15">
      <c r="A15" s="2" t="inlineStr">
        <is>
          <t>Δ esfera se K alto</t>
        </is>
      </c>
      <c r="B15" s="7" t="n">
        <v>-0.05</v>
      </c>
    </row>
    <row r="16">
      <c r="A16" s="2" t="inlineStr">
        <is>
          <t>K baixo (&lt;)</t>
        </is>
      </c>
      <c r="B16" s="7" t="n">
        <v>42</v>
      </c>
    </row>
    <row r="17">
      <c r="A17" s="2" t="inlineStr">
        <is>
          <t>Δ esfera se K baixo</t>
        </is>
      </c>
      <c r="B17" s="7" t="n">
        <v>0.05</v>
      </c>
    </row>
    <row r="19">
      <c r="A19" s="17" t="inlineStr">
        <is>
          <t>Ajustes por zona óptica</t>
        </is>
      </c>
    </row>
    <row r="20">
      <c r="A20" s="2" t="inlineStr">
        <is>
          <t>Zona alta (≥)</t>
        </is>
      </c>
      <c r="B20" s="7" t="n">
        <v>7</v>
      </c>
    </row>
    <row r="21">
      <c r="A21" s="2" t="inlineStr">
        <is>
          <t>Δ esfera se zona alta</t>
        </is>
      </c>
      <c r="B21" s="7" t="n">
        <v>0.1</v>
      </c>
    </row>
    <row r="22">
      <c r="A22" s="2" t="inlineStr">
        <is>
          <t>Zona baixa (≤)</t>
        </is>
      </c>
      <c r="B22" s="7" t="n">
        <v>6</v>
      </c>
    </row>
    <row r="23">
      <c r="A23" s="2" t="inlineStr">
        <is>
          <t>Δ esfera se zona baixa</t>
        </is>
      </c>
      <c r="B23" s="7" t="n">
        <v>-0.05</v>
      </c>
    </row>
    <row r="25">
      <c r="A25" s="17" t="inlineStr">
        <is>
          <t>Ajustes por pupila mesópica</t>
        </is>
      </c>
    </row>
    <row r="26">
      <c r="A26" s="2" t="inlineStr">
        <is>
          <t>Pupila alta (&gt;)</t>
        </is>
      </c>
      <c r="B26" s="7" t="n">
        <v>6</v>
      </c>
    </row>
    <row r="27">
      <c r="A27" s="2" t="inlineStr">
        <is>
          <t>ΔQ se pupila alta</t>
        </is>
      </c>
      <c r="B27" s="7" t="n">
        <v>-0.15</v>
      </c>
    </row>
    <row r="29">
      <c r="A29" s="17" t="inlineStr">
        <is>
          <t>Regras de anisometropia</t>
        </is>
      </c>
    </row>
    <row r="30">
      <c r="A30" s="2" t="inlineStr">
        <is>
          <t>Esperado (dual)</t>
        </is>
      </c>
      <c r="B30" s="7" t="n">
        <v>1.2</v>
      </c>
    </row>
    <row r="31">
      <c r="A31" s="2" t="inlineStr">
        <is>
          <t>ΔQ (mono não dom.)</t>
        </is>
      </c>
      <c r="B31" s="7" t="n">
        <v>0.7</v>
      </c>
    </row>
    <row r="35">
      <c r="A35" t="inlineStr">
        <is>
          <t>Regras de segurança Q (v3)</t>
        </is>
      </c>
    </row>
    <row r="36">
      <c r="A36" t="inlineStr">
        <is>
          <t>Q mais negativo permitido (mín)</t>
        </is>
      </c>
      <c r="B36" t="n">
        <v>-0.95</v>
      </c>
    </row>
    <row r="37">
      <c r="A37" t="inlineStr">
        <is>
          <t>Q menos negativo permitido (máx)</t>
        </is>
      </c>
      <c r="B37" t="n">
        <v>-0.8</v>
      </c>
    </row>
    <row r="38">
      <c r="A38" t="inlineStr">
        <is>
          <t>Hard stop (nunca &lt;)</t>
        </is>
      </c>
      <c r="B38" t="n">
        <v>-1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3" t="inlineStr">
        <is>
          <t>Resultados – PresbyCor v3 (equações em planilha, calibráveis na aba Nomograma; com clamps de Q)</t>
        </is>
      </c>
    </row>
    <row r="3">
      <c r="A3" s="16" t="inlineStr">
        <is>
          <t>OD (cálculo por estratégia)</t>
        </is>
      </c>
    </row>
    <row r="4">
      <c r="A4" s="14" t="inlineStr">
        <is>
          <t>Estratégia</t>
        </is>
      </c>
      <c r="B4" s="14" t="inlineStr">
        <is>
          <t>Δ base</t>
        </is>
      </c>
      <c r="C4" s="14" t="inlineStr">
        <is>
          <t>Δ idade</t>
        </is>
      </c>
      <c r="D4" s="14" t="inlineStr">
        <is>
          <t>Δ K</t>
        </is>
      </c>
      <c r="E4" s="14" t="inlineStr">
        <is>
          <t>Δ zona</t>
        </is>
      </c>
      <c r="F4" s="14" t="inlineStr">
        <is>
          <t>Δ total</t>
        </is>
      </c>
      <c r="G4" s="14" t="inlineStr">
        <is>
          <t>Δ total (aj.)</t>
        </is>
      </c>
      <c r="H4" s="14" t="inlineStr">
        <is>
          <t>Esf final</t>
        </is>
      </c>
      <c r="I4" s="14" t="inlineStr">
        <is>
          <t>Q total</t>
        </is>
      </c>
      <c r="J4" s="14" t="inlineStr">
        <is>
          <t>Q alvo final</t>
        </is>
      </c>
      <c r="K4" s="2" t="inlineStr">
        <is>
          <t>Q bruto</t>
        </is>
      </c>
      <c r="L4" s="2" t="inlineStr">
        <is>
          <t>Clamp aplicado</t>
        </is>
      </c>
    </row>
    <row r="5">
      <c r="A5" s="2" t="inlineStr">
        <is>
          <t>equi-vision</t>
        </is>
      </c>
      <c r="B5" s="18">
        <f>IF(A5="equi-vision",IF(IF(Entrada!B9="Sim",1,0)=1,Nomograma!B4,Nomograma!C4),IF(A5="dual-vision",IF(IF(Entrada!B9="Sim",1,0)=1,Nomograma!B5,Nomograma!C5),IF(A5="mono-vision",IF(IF(Entrada!B9="Sim",1,0)=1,Nomograma!B6,Entrada!B14),0)))</f>
        <v/>
      </c>
      <c r="C5" s="18">
        <f>IF(Entrada!B5&lt;=Nomograma!B9,Nomograma!B10,0)</f>
        <v/>
      </c>
      <c r="D5" s="18">
        <f>IF(Entrada!B21&gt;Nomograma!B14,Nomograma!B15,IF(Entrada!B21&lt;Nomograma!B16,Nomograma!B17,0))</f>
        <v/>
      </c>
      <c r="E5" s="18">
        <f>IF(Entrada!B20&gt;=Nomograma!B20,Nomograma!B21,IF(Entrada!B20&lt;=Nomograma!B22,Nomograma!B23,0))</f>
        <v/>
      </c>
      <c r="F5" s="18">
        <f>B5+C5+D5+E5</f>
        <v/>
      </c>
      <c r="G5" s="18">
        <f>F5-IF(AND(IF(Entrada!B9="Sim",1,0)=0,OR(A5="dual-vision",A5="mono-vision"),ABS(F5-IF(A5="dual-vision",Nomograma!B30,Entrada!B14))&gt;Entrada!F4),IF(AND(IF(Entrada!B9="Sim",1,0)=0,OR(A5="dual-vision",A5="mono-vision"),ABS(F5-IF(A5="dual-vision",Nomograma!B30,Entrada!B14))&gt;Entrada!F4),ABS(F5)-Entrada!F4,0)*SIGN(F5),0)</f>
        <v/>
      </c>
      <c r="H5" s="18">
        <f>MIN(Entrada!B11+G5,Entrada!F5)</f>
        <v/>
      </c>
      <c r="I5" s="18">
        <f>(IF(A5="equi-vision",IF(IF(Entrada!B9="Sim",1,0)=1,Nomograma!D4,Nomograma!E4),IF(A5="dual-vision",IF(IF(Entrada!B9="Sim",1,0)=1,Nomograma!D5,Nomograma!E5),IF(A5="mono-vision",IF(IF(Entrada!B9="Sim",1,0)=1,0,Nomograma!B31),0))))+(IF(Entrada!B5&lt;=Nomograma!B9,Nomograma!B11,0))+(IF(Entrada!B19&gt;Nomograma!B26,Nomograma!B27,0))</f>
        <v/>
      </c>
      <c r="J5" s="18">
        <f>IF(Entrada!$F$6="Manual",Entrada!$B$22,MAX(MIN((Entrada!$B$31-I5),Nomograma!$B$37),Nomograma!$B$36))</f>
        <v/>
      </c>
      <c r="K5">
        <f>Entrada!$B$31-I5</f>
        <v/>
      </c>
      <c r="L5">
        <f>J5-K5</f>
        <v/>
      </c>
    </row>
    <row r="6">
      <c r="A6" s="2" t="inlineStr">
        <is>
          <t>dual-vision</t>
        </is>
      </c>
      <c r="B6" s="18">
        <f>IF(A6="equi-vision",IF(IF(Entrada!B9="Sim",1,0)=1,Nomograma!B4,Nomograma!C4),IF(A6="dual-vision",IF(IF(Entrada!B9="Sim",1,0)=1,Nomograma!B5,Nomograma!C5),IF(A6="mono-vision",IF(IF(Entrada!B9="Sim",1,0)=1,Nomograma!B6,Entrada!B14),0)))</f>
        <v/>
      </c>
      <c r="C6" s="18">
        <f>IF(Entrada!B5&lt;=Nomograma!B9,Nomograma!B10,0)</f>
        <v/>
      </c>
      <c r="D6" s="18">
        <f>IF(Entrada!B21&gt;Nomograma!B14,Nomograma!B15,IF(Entrada!B21&lt;Nomograma!B16,Nomograma!B17,0))</f>
        <v/>
      </c>
      <c r="E6" s="18">
        <f>IF(Entrada!B20&gt;=Nomograma!B20,Nomograma!B21,IF(Entrada!B20&lt;=Nomograma!B22,Nomograma!B23,0))</f>
        <v/>
      </c>
      <c r="F6" s="18">
        <f>B6+C6+D6+E6</f>
        <v/>
      </c>
      <c r="G6" s="18">
        <f>F6-IF(AND(IF(Entrada!B9="Sim",1,0)=0,OR(A6="dual-vision",A6="mono-vision"),ABS(F6-IF(A6="dual-vision",Nomograma!B30,Entrada!B14))&gt;Entrada!F4),IF(AND(IF(Entrada!B9="Sim",1,0)=0,OR(A6="dual-vision",A6="mono-vision"),ABS(F6-IF(A6="dual-vision",Nomograma!B30,Entrada!B14))&gt;Entrada!F4),ABS(F6)-Entrada!F4,0)*SIGN(F6),0)</f>
        <v/>
      </c>
      <c r="H6" s="18">
        <f>MIN(Entrada!B11+G6,Entrada!F5)</f>
        <v/>
      </c>
      <c r="I6" s="18">
        <f>(IF(A6="equi-vision",IF(IF(Entrada!B9="Sim",1,0)=1,Nomograma!D4,Nomograma!E4),IF(A6="dual-vision",IF(IF(Entrada!B9="Sim",1,0)=1,Nomograma!D5,Nomograma!E5),IF(A6="mono-vision",IF(IF(Entrada!B9="Sim",1,0)=1,0,Nomograma!B31),0))))+(IF(Entrada!B5&lt;=Nomograma!B9,Nomograma!B11,0))+(IF(Entrada!B19&gt;Nomograma!B26,Nomograma!B27,0))</f>
        <v/>
      </c>
      <c r="J6" s="18">
        <f>IF(Entrada!$F$6="Manual",Entrada!$B$22,MAX(MIN((Entrada!$B$31-I6),Nomograma!$B$37),Nomograma!$B$36))</f>
        <v/>
      </c>
      <c r="K6">
        <f>Entrada!$B$31-I6</f>
        <v/>
      </c>
      <c r="L6">
        <f>J6-K6</f>
        <v/>
      </c>
    </row>
    <row r="7">
      <c r="A7" s="2" t="inlineStr">
        <is>
          <t>mono-vision</t>
        </is>
      </c>
      <c r="B7" s="18">
        <f>IF(A7="equi-vision",IF(IF(Entrada!B9="Sim",1,0)=1,Nomograma!B4,Nomograma!C4),IF(A7="dual-vision",IF(IF(Entrada!B9="Sim",1,0)=1,Nomograma!B5,Nomograma!C5),IF(A7="mono-vision",IF(IF(Entrada!B9="Sim",1,0)=1,Nomograma!B6,Entrada!B14),0)))</f>
        <v/>
      </c>
      <c r="C7" s="18">
        <f>IF(Entrada!B5&lt;=Nomograma!B9,Nomograma!B10,0)</f>
        <v/>
      </c>
      <c r="D7" s="18">
        <f>IF(Entrada!B21&gt;Nomograma!B14,Nomograma!B15,IF(Entrada!B21&lt;Nomograma!B16,Nomograma!B17,0))</f>
        <v/>
      </c>
      <c r="E7" s="18">
        <f>IF(Entrada!B20&gt;=Nomograma!B20,Nomograma!B21,IF(Entrada!B20&lt;=Nomograma!B22,Nomograma!B23,0))</f>
        <v/>
      </c>
      <c r="F7" s="18">
        <f>B7+C7+D7+E7</f>
        <v/>
      </c>
      <c r="G7" s="18">
        <f>F7-IF(AND(IF(Entrada!B9="Sim",1,0)=0,OR(A7="dual-vision",A7="mono-vision"),ABS(F7-IF(A7="dual-vision",Nomograma!B30,Entrada!B14))&gt;Entrada!F4),IF(AND(IF(Entrada!B9="Sim",1,0)=0,OR(A7="dual-vision",A7="mono-vision"),ABS(F7-IF(A7="dual-vision",Nomograma!B30,Entrada!B14))&gt;Entrada!F4),ABS(F7)-Entrada!F4,0)*SIGN(F7),0)</f>
        <v/>
      </c>
      <c r="H7" s="18">
        <f>MIN(Entrada!B11+G7,Entrada!F5)</f>
        <v/>
      </c>
      <c r="I7" s="18">
        <f>(IF(A7="equi-vision",IF(IF(Entrada!B9="Sim",1,0)=1,Nomograma!D4,Nomograma!E4),IF(A7="dual-vision",IF(IF(Entrada!B9="Sim",1,0)=1,Nomograma!D5,Nomograma!E5),IF(A7="mono-vision",IF(IF(Entrada!B9="Sim",1,0)=1,0,Nomograma!B31),0))))+(IF(Entrada!B5&lt;=Nomograma!B9,Nomograma!B11,0))+(IF(Entrada!B19&gt;Nomograma!B26,Nomograma!B27,0))</f>
        <v/>
      </c>
      <c r="J7" s="18">
        <f>IF(Entrada!$F$6="Manual",Entrada!$B$22,MAX(MIN((Entrada!$B$31-I7),Nomograma!$B$37),Nomograma!$B$36))</f>
        <v/>
      </c>
      <c r="K7">
        <f>Entrada!$B$31-I7</f>
        <v/>
      </c>
      <c r="L7">
        <f>J7-K7</f>
        <v/>
      </c>
    </row>
    <row r="9">
      <c r="A9" s="19" t="inlineStr">
        <is>
          <t>Nota: Q alvo final respeita 'Modo Q' (Nomograma vs Manual). Para calibrar com o print PresbyCor, ajuste os coeficientes na aba 'Nomograma'.</t>
        </is>
      </c>
    </row>
    <row r="11">
      <c r="A11" s="16" t="inlineStr">
        <is>
          <t>OS (cálculo por estratégia)</t>
        </is>
      </c>
    </row>
    <row r="12">
      <c r="A12" s="14" t="inlineStr">
        <is>
          <t>Estratégia</t>
        </is>
      </c>
      <c r="B12" s="14" t="inlineStr">
        <is>
          <t>Δ base</t>
        </is>
      </c>
      <c r="C12" s="14" t="inlineStr">
        <is>
          <t>Δ idade</t>
        </is>
      </c>
      <c r="D12" s="14" t="inlineStr">
        <is>
          <t>Δ K</t>
        </is>
      </c>
      <c r="E12" s="14" t="inlineStr">
        <is>
          <t>Δ zona</t>
        </is>
      </c>
      <c r="F12" s="14" t="inlineStr">
        <is>
          <t>Δ total</t>
        </is>
      </c>
      <c r="G12" s="14" t="inlineStr">
        <is>
          <t>Δ total (aj.)</t>
        </is>
      </c>
      <c r="H12" s="14" t="inlineStr">
        <is>
          <t>Esf final</t>
        </is>
      </c>
      <c r="I12" s="14" t="inlineStr">
        <is>
          <t>Q total</t>
        </is>
      </c>
      <c r="J12" s="14" t="inlineStr">
        <is>
          <t>Q alvo final</t>
        </is>
      </c>
      <c r="K12" s="2" t="inlineStr">
        <is>
          <t>Q bruto</t>
        </is>
      </c>
      <c r="L12" s="2" t="inlineStr">
        <is>
          <t>Clamp aplicado</t>
        </is>
      </c>
    </row>
    <row r="13">
      <c r="A13" s="2" t="inlineStr">
        <is>
          <t>equi-vision</t>
        </is>
      </c>
      <c r="B13" s="18">
        <f>IF(A13="equi-vision",IF(IF(Entrada!F9="Sim",1,0)=1,Nomograma!B4,Nomograma!C4),IF(A13="dual-vision",IF(IF(Entrada!F9="Sim",1,0)=1,Nomograma!B5,Nomograma!C5),IF(A13="mono-vision",IF(IF(Entrada!F9="Sim",1,0)=1,Nomograma!B6,Entrada!F14),0)))</f>
        <v/>
      </c>
      <c r="C13" s="18">
        <f>IF(Entrada!B5&lt;=Nomograma!B9,Nomograma!B10,0)</f>
        <v/>
      </c>
      <c r="D13" s="18">
        <f>IF(Entrada!F21&gt;Nomograma!B14,Nomograma!B15,IF(Entrada!F21&lt;Nomograma!B16,Nomograma!B17,0))</f>
        <v/>
      </c>
      <c r="E13" s="18">
        <f>IF(Entrada!F20&gt;=Nomograma!B20,Nomograma!B21,IF(Entrada!F20&lt;=Nomograma!B22,Nomograma!B23,0))</f>
        <v/>
      </c>
      <c r="F13" s="18">
        <f>B13+C13+D13+E13</f>
        <v/>
      </c>
      <c r="G13" s="18">
        <f>F13-IF(AND(IF(Entrada!F9="Sim",1,0)=0,OR(A13="dual-vision",A13="mono-vision"),ABS(F13-IF(A13="dual-vision",Nomograma!B30,Entrada!F14))&gt;Entrada!F4),IF(AND(IF(Entrada!F9="Sim",1,0)=0,OR(A13="dual-vision",A13="mono-vision"),ABS(F13-IF(A13="dual-vision",Nomograma!B30,Entrada!F14))&gt;Entrada!F4),ABS(F13)-Entrada!F4,0)*SIGN(F13),0)</f>
        <v/>
      </c>
      <c r="H13" s="18">
        <f>MIN(Entrada!F11+G13,Entrada!F5)</f>
        <v/>
      </c>
      <c r="I13" s="18">
        <f>(IF(A13="equi-vision",IF(IF(Entrada!F9="Sim",1,0)=1,Nomograma!D4,Nomograma!E4),IF(A13="dual-vision",IF(IF(Entrada!F9="Sim",1,0)=1,Nomograma!D5,Nomograma!E5),IF(A13="mono-vision",IF(IF(Entrada!F9="Sim",1,0)=1,0,Nomograma!B31),0))))+(IF(Entrada!B5&lt;=Nomograma!B9,Nomograma!B11,0))+(IF(Entrada!F19&gt;Nomograma!B26,Nomograma!B27,0))</f>
        <v/>
      </c>
      <c r="J13" s="18">
        <f>IF(Entrada!$F$6="Manual",Entrada!$F$22,MAX(MIN((Entrada!$F$31-I13),Nomograma!$B$37),Nomograma!$B$36))</f>
        <v/>
      </c>
      <c r="K13">
        <f>Entrada!$F$31-I13</f>
        <v/>
      </c>
      <c r="L13">
        <f>J13-K13</f>
        <v/>
      </c>
    </row>
    <row r="14">
      <c r="A14" s="2" t="inlineStr">
        <is>
          <t>dual-vision</t>
        </is>
      </c>
      <c r="B14" s="18">
        <f>IF(A14="equi-vision",IF(IF(Entrada!F9="Sim",1,0)=1,Nomograma!B4,Nomograma!C4),IF(A14="dual-vision",IF(IF(Entrada!F9="Sim",1,0)=1,Nomograma!B5,Nomograma!C5),IF(A14="mono-vision",IF(IF(Entrada!F9="Sim",1,0)=1,Nomograma!B6,Entrada!F14),0)))</f>
        <v/>
      </c>
      <c r="C14" s="18">
        <f>IF(Entrada!B5&lt;=Nomograma!B9,Nomograma!B10,0)</f>
        <v/>
      </c>
      <c r="D14" s="18">
        <f>IF(Entrada!F21&gt;Nomograma!B14,Nomograma!B15,IF(Entrada!F21&lt;Nomograma!B16,Nomograma!B17,0))</f>
        <v/>
      </c>
      <c r="E14" s="18">
        <f>IF(Entrada!F20&gt;=Nomograma!B20,Nomograma!B21,IF(Entrada!F20&lt;=Nomograma!B22,Nomograma!B23,0))</f>
        <v/>
      </c>
      <c r="F14" s="18">
        <f>B14+C14+D14+E14</f>
        <v/>
      </c>
      <c r="G14" s="18">
        <f>F14-IF(AND(IF(Entrada!F9="Sim",1,0)=0,OR(A14="dual-vision",A14="mono-vision"),ABS(F14-IF(A14="dual-vision",Nomograma!B30,Entrada!F14))&gt;Entrada!F4),IF(AND(IF(Entrada!F9="Sim",1,0)=0,OR(A14="dual-vision",A14="mono-vision"),ABS(F14-IF(A14="dual-vision",Nomograma!B30,Entrada!F14))&gt;Entrada!F4),ABS(F14)-Entrada!F4,0)*SIGN(F14),0)</f>
        <v/>
      </c>
      <c r="H14" s="18">
        <f>MIN(Entrada!F11+G14,Entrada!F5)</f>
        <v/>
      </c>
      <c r="I14" s="18">
        <f>(IF(A14="equi-vision",IF(IF(Entrada!F9="Sim",1,0)=1,Nomograma!D4,Nomograma!E4),IF(A14="dual-vision",IF(IF(Entrada!F9="Sim",1,0)=1,Nomograma!D5,Nomograma!E5),IF(A14="mono-vision",IF(IF(Entrada!F9="Sim",1,0)=1,0,Nomograma!B31),0))))+(IF(Entrada!B5&lt;=Nomograma!B9,Nomograma!B11,0))+(IF(Entrada!F19&gt;Nomograma!B26,Nomograma!B27,0))</f>
        <v/>
      </c>
      <c r="J14" s="18">
        <f>IF(Entrada!$F$6="Manual",Entrada!$F$22,MAX(MIN((Entrada!$F$31-I14),Nomograma!$B$37),Nomograma!$B$36))</f>
        <v/>
      </c>
      <c r="K14">
        <f>Entrada!$F$31-I14</f>
        <v/>
      </c>
      <c r="L14">
        <f>J14-K14</f>
        <v/>
      </c>
    </row>
    <row r="15">
      <c r="A15" s="2" t="inlineStr">
        <is>
          <t>mono-vision</t>
        </is>
      </c>
      <c r="B15" s="18">
        <f>IF(A15="equi-vision",IF(IF(Entrada!F9="Sim",1,0)=1,Nomograma!B4,Nomograma!C4),IF(A15="dual-vision",IF(IF(Entrada!F9="Sim",1,0)=1,Nomograma!B5,Nomograma!C5),IF(A15="mono-vision",IF(IF(Entrada!F9="Sim",1,0)=1,Nomograma!B6,Entrada!F14),0)))</f>
        <v/>
      </c>
      <c r="C15" s="18">
        <f>IF(Entrada!B5&lt;=Nomograma!B9,Nomograma!B10,0)</f>
        <v/>
      </c>
      <c r="D15" s="18">
        <f>IF(Entrada!F21&gt;Nomograma!B14,Nomograma!B15,IF(Entrada!F21&lt;Nomograma!B16,Nomograma!B17,0))</f>
        <v/>
      </c>
      <c r="E15" s="18">
        <f>IF(Entrada!F20&gt;=Nomograma!B20,Nomograma!B21,IF(Entrada!F20&lt;=Nomograma!B22,Nomograma!B23,0))</f>
        <v/>
      </c>
      <c r="F15" s="18">
        <f>B15+C15+D15+E15</f>
        <v/>
      </c>
      <c r="G15" s="18">
        <f>F15-IF(AND(IF(Entrada!F9="Sim",1,0)=0,OR(A15="dual-vision",A15="mono-vision"),ABS(F15-IF(A15="dual-vision",Nomograma!B30,Entrada!F14))&gt;Entrada!F4),IF(AND(IF(Entrada!F9="Sim",1,0)=0,OR(A15="dual-vision",A15="mono-vision"),ABS(F15-IF(A15="dual-vision",Nomograma!B30,Entrada!F14))&gt;Entrada!F4),ABS(F15)-Entrada!F4,0)*SIGN(F15),0)</f>
        <v/>
      </c>
      <c r="H15" s="18">
        <f>MIN(Entrada!F11+G15,Entrada!F5)</f>
        <v/>
      </c>
      <c r="I15" s="18">
        <f>(IF(A15="equi-vision",IF(IF(Entrada!F9="Sim",1,0)=1,Nomograma!D4,Nomograma!E4),IF(A15="dual-vision",IF(IF(Entrada!F9="Sim",1,0)=1,Nomograma!D5,Nomograma!E5),IF(A15="mono-vision",IF(IF(Entrada!F9="Sim",1,0)=1,0,Nomograma!B31),0))))+(IF(Entrada!B5&lt;=Nomograma!B9,Nomograma!B11,0))+(IF(Entrada!F19&gt;Nomograma!B26,Nomograma!B27,0))</f>
        <v/>
      </c>
      <c r="J15" s="18">
        <f>IF(Entrada!$F$6="Manual",Entrada!$F$22,MAX(MIN((Entrada!$F$31-I15),Nomograma!$B$37),Nomograma!$B$36))</f>
        <v/>
      </c>
      <c r="K15">
        <f>Entrada!$F$31-I15</f>
        <v/>
      </c>
      <c r="L15">
        <f>J15-K15</f>
        <v/>
      </c>
    </row>
    <row r="17">
      <c r="A17" s="19" t="inlineStr">
        <is>
          <t>Nota: Q alvo final respeita 'Modo Q' (Nomograma vs Manual). Para calibrar com o print PresbyCor, ajuste os coeficientes na aba 'Nomograma'.</t>
        </is>
      </c>
    </row>
  </sheetData>
  <mergeCells count="5">
    <mergeCell ref="A1:J1"/>
    <mergeCell ref="A17:J17"/>
    <mergeCell ref="A9:J9"/>
    <mergeCell ref="A3:J3"/>
    <mergeCell ref="A11:J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45" customWidth="1" min="20" max="20"/>
  </cols>
  <sheetData>
    <row r="1" ht="26" customHeight="1">
      <c r="A1" s="13" t="inlineStr">
        <is>
          <t>Calibração com Print PresbyCor (cole valores do relatório e ajuste coeficientes na aba Nomograma) – v3</t>
        </is>
      </c>
    </row>
    <row r="2">
      <c r="A2" t="inlineStr">
        <is>
          <t>Cole os casos aqui e use a aba ENTRADA para rodar um caso por vez; copie Esfera final e Q final para Esf_calc e Q_calc. Ajuste coeficientes na aba NOMOGRAMA para minimizar os erros.</t>
        </is>
      </c>
    </row>
    <row r="3">
      <c r="A3" s="2" t="inlineStr">
        <is>
          <t>Caso</t>
        </is>
      </c>
      <c r="B3" s="3" t="inlineStr">
        <is>
          <t>Olho</t>
        </is>
      </c>
      <c r="C3" t="inlineStr">
        <is>
          <t>Dominante</t>
        </is>
      </c>
      <c r="D3" t="inlineStr">
        <is>
          <t>Estratégia</t>
        </is>
      </c>
      <c r="E3" t="inlineStr">
        <is>
          <t>Esf0</t>
        </is>
      </c>
      <c r="F3" t="inlineStr">
        <is>
          <t>Cil0</t>
        </is>
      </c>
      <c r="G3" t="inlineStr">
        <is>
          <t>Eixo0</t>
        </is>
      </c>
      <c r="H3" t="inlineStr">
        <is>
          <t>Idade</t>
        </is>
      </c>
      <c r="I3" t="inlineStr">
        <is>
          <t>Kmed</t>
        </is>
      </c>
      <c r="J3" t="inlineStr">
        <is>
          <t>Zona(mm)</t>
        </is>
      </c>
      <c r="K3" t="inlineStr">
        <is>
          <t>Pupila(mm)</t>
        </is>
      </c>
      <c r="L3" t="inlineStr">
        <is>
          <t>Q0</t>
        </is>
      </c>
      <c r="M3" t="inlineStr">
        <is>
          <t>Add</t>
        </is>
      </c>
      <c r="N3" t="inlineStr">
        <is>
          <t>Esf_calc</t>
        </is>
      </c>
      <c r="O3" t="inlineStr">
        <is>
          <t>Q_calc</t>
        </is>
      </c>
      <c r="P3" t="inlineStr">
        <is>
          <t>Esf_target(PDF)</t>
        </is>
      </c>
      <c r="Q3" t="inlineStr">
        <is>
          <t>Q_target(PDF)</t>
        </is>
      </c>
      <c r="R3" t="inlineStr">
        <is>
          <t>Erro_Esf</t>
        </is>
      </c>
      <c r="S3" t="inlineStr">
        <is>
          <t>Erro_Q</t>
        </is>
      </c>
      <c r="T3" t="inlineStr">
        <is>
          <t>Notas</t>
        </is>
      </c>
    </row>
    <row r="4">
      <c r="A4" t="inlineStr">
        <is>
          <t>DA ROCHA Weder Carlos</t>
        </is>
      </c>
      <c r="B4" t="inlineStr">
        <is>
          <t>OD</t>
        </is>
      </c>
      <c r="C4" t="inlineStr">
        <is>
          <t>SIM</t>
        </is>
      </c>
      <c r="D4" t="inlineStr">
        <is>
          <t>EQUI</t>
        </is>
      </c>
      <c r="E4" t="n">
        <v>4</v>
      </c>
      <c r="F4" t="n">
        <v>0</v>
      </c>
      <c r="G4" t="n">
        <v>0</v>
      </c>
      <c r="H4" t="n">
        <v>59</v>
      </c>
      <c r="I4" t="n">
        <v>45</v>
      </c>
      <c r="J4" t="n">
        <v>6.5</v>
      </c>
      <c r="K4" t="n">
        <v>3.6</v>
      </c>
      <c r="L4" t="n">
        <v>-0.13</v>
      </c>
      <c r="M4" t="n">
        <v>1.5</v>
      </c>
      <c r="P4" t="n">
        <v>2.31</v>
      </c>
      <c r="Q4" t="n">
        <v>-0.73</v>
      </c>
      <c r="R4">
        <f>IF(AND(N4&lt;&gt;"",P4&lt;&gt;""),N4-P4,"")</f>
        <v/>
      </c>
      <c r="S4">
        <f>IF(AND(O4&lt;&gt;"",Q4&lt;&gt;""),O4-Q4,"")</f>
        <v/>
      </c>
      <c r="T4" t="inlineStr">
        <is>
          <t>Extraído via OCR; confirme no PDF.</t>
        </is>
      </c>
    </row>
    <row r="5">
      <c r="A5" t="inlineStr">
        <is>
          <t>DA ROCHA Weder Carlos</t>
        </is>
      </c>
      <c r="B5" s="9" t="inlineStr">
        <is>
          <t>OD</t>
        </is>
      </c>
      <c r="C5" t="inlineStr">
        <is>
          <t>SIM</t>
        </is>
      </c>
      <c r="D5" t="inlineStr">
        <is>
          <t>DUAL</t>
        </is>
      </c>
      <c r="E5" t="n">
        <v>4</v>
      </c>
      <c r="F5" t="n">
        <v>0</v>
      </c>
      <c r="G5" t="n">
        <v>0</v>
      </c>
      <c r="H5" t="n">
        <v>59</v>
      </c>
      <c r="I5" t="n">
        <v>45</v>
      </c>
      <c r="J5" t="n">
        <v>6.5</v>
      </c>
      <c r="K5" t="n">
        <v>3.6</v>
      </c>
      <c r="L5" t="n">
        <v>-0.13</v>
      </c>
      <c r="M5" t="n">
        <v>1.5</v>
      </c>
      <c r="P5" t="n">
        <v>1.9</v>
      </c>
      <c r="Q5" t="n">
        <v>-0.73</v>
      </c>
      <c r="R5">
        <f>IF(AND(N5&lt;&gt;"",P5&lt;&gt;""),N5-P5,"")</f>
        <v/>
      </c>
      <c r="S5">
        <f>IF(AND(O5&lt;&gt;"",Q5&lt;&gt;""),O5-Q5,"")</f>
        <v/>
      </c>
      <c r="T5" t="inlineStr"/>
    </row>
    <row r="6">
      <c r="A6" t="inlineStr">
        <is>
          <t>OLIVEIRA Rosilene</t>
        </is>
      </c>
      <c r="B6" s="9" t="inlineStr">
        <is>
          <t>OD</t>
        </is>
      </c>
      <c r="C6" t="inlineStr">
        <is>
          <t>SIM</t>
        </is>
      </c>
      <c r="D6" t="inlineStr">
        <is>
          <t>EQUI</t>
        </is>
      </c>
      <c r="E6" t="n">
        <v>0.5</v>
      </c>
      <c r="F6" t="n">
        <v>0</v>
      </c>
      <c r="G6" t="n">
        <v>0</v>
      </c>
      <c r="H6" t="n">
        <v>52</v>
      </c>
      <c r="I6" t="n">
        <v>44.5</v>
      </c>
      <c r="J6" t="n">
        <v>6.5</v>
      </c>
      <c r="K6" t="n">
        <v>4.5</v>
      </c>
      <c r="L6" t="n">
        <v>-0.65</v>
      </c>
      <c r="M6" t="n">
        <v>1</v>
      </c>
      <c r="P6" t="n">
        <v>2.03</v>
      </c>
      <c r="Q6" t="n">
        <v>-1</v>
      </c>
      <c r="R6">
        <f>IF(AND(N6&lt;&gt;"",P6&lt;&gt;""),N6-P6,"")</f>
        <v/>
      </c>
      <c r="S6">
        <f>IF(AND(O6&lt;&gt;"",Q6&lt;&gt;""),O6-Q6,"")</f>
        <v/>
      </c>
      <c r="T6" t="inlineStr">
        <is>
          <t>Q pré-op no print é -0.65 e Q final -0.40 em alguns blocos; aqui calibrando Qtarget do software.</t>
        </is>
      </c>
    </row>
    <row r="7">
      <c r="A7" t="inlineStr">
        <is>
          <t>OLIVEIRA Rosilene</t>
        </is>
      </c>
      <c r="B7" t="inlineStr">
        <is>
          <t>OD</t>
        </is>
      </c>
      <c r="C7" t="inlineStr">
        <is>
          <t>SIM</t>
        </is>
      </c>
      <c r="D7" t="inlineStr">
        <is>
          <t>DUAL</t>
        </is>
      </c>
      <c r="E7" t="n">
        <v>0.5</v>
      </c>
      <c r="F7" t="n">
        <v>0</v>
      </c>
      <c r="G7" t="n">
        <v>0</v>
      </c>
      <c r="H7" t="n">
        <v>52</v>
      </c>
      <c r="I7" t="n">
        <v>44.5</v>
      </c>
      <c r="J7" t="n">
        <v>6.5</v>
      </c>
      <c r="K7" t="n">
        <v>4.5</v>
      </c>
      <c r="L7" t="n">
        <v>-0.65</v>
      </c>
      <c r="M7" t="n">
        <v>1</v>
      </c>
      <c r="P7" t="n">
        <v>1.74</v>
      </c>
      <c r="Q7" t="n">
        <v>-1</v>
      </c>
      <c r="R7">
        <f>IF(AND(N7&lt;&gt;"",P7&lt;&gt;""),N7-P7,"")</f>
        <v/>
      </c>
      <c r="S7">
        <f>IF(AND(O7&lt;&gt;"",Q7&lt;&gt;""),O7-Q7,"")</f>
        <v/>
      </c>
      <c r="T7" t="inlineStr"/>
    </row>
    <row r="8">
      <c r="A8" s="2" t="n"/>
      <c r="B8" s="11" t="n"/>
    </row>
    <row r="9">
      <c r="A9" s="2" t="n"/>
      <c r="B9" s="11" t="n"/>
    </row>
    <row r="10"/>
    <row r="11">
      <c r="A11" s="2" t="n"/>
      <c r="B11" s="11" t="n"/>
    </row>
    <row r="12">
      <c r="A12" s="2" t="n"/>
      <c r="B12" s="11" t="n"/>
    </row>
    <row r="13"/>
    <row r="14">
      <c r="A14" s="12" t="n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2">
    <mergeCell ref="A14:D17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2026-03-02T18:56:11Z</dcterms:created>
  <dcterms:modified xmlns:dcterms="http://purl.org/dc/terms/" xmlns:xsi="http://www.w3.org/2001/XMLSchema-instance" xsi:type="dcterms:W3CDTF">2026-03-02T19:18:09Z</dcterms:modified>
</cp:coreProperties>
</file>